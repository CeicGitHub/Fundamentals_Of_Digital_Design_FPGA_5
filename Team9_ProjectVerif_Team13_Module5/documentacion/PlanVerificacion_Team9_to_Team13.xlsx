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ado\Team9_ProjectVerif_Team13_Module5\documentacion\"/>
    </mc:Choice>
  </mc:AlternateContent>
  <xr:revisionPtr revIDLastSave="0" documentId="13_ncr:1_{558D0177-B93B-48A6-9D07-8AB44A78460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estcases_Checks" sheetId="3" r:id="rId1"/>
    <sheet name="Valores_Verificar" sheetId="5" r:id="rId2"/>
    <sheet name="CoverGroups" sheetId="2" r:id="rId3"/>
    <sheet name="DONOTCHANGE" sheetId="4" state="hidden" r:id="rId4"/>
  </sheets>
  <definedNames>
    <definedName name="_xlnm._FilterDatabase" localSheetId="0" hidden="1">Testcases_Checks!$B$1:$D$1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<sst xmlns="http://schemas.openxmlformats.org/spreadsheetml/2006/main" count="93" uniqueCount="68">
  <si>
    <t>Date</t>
  </si>
  <si>
    <t>Functional coverage (%)</t>
  </si>
  <si>
    <t>Code coverage (%)</t>
  </si>
  <si>
    <t>Overall coverage (%)</t>
  </si>
  <si>
    <t>Attribute</t>
  </si>
  <si>
    <t>Attribute Type</t>
  </si>
  <si>
    <t>Owner</t>
  </si>
  <si>
    <t>Status</t>
  </si>
  <si>
    <t>Descripcion</t>
  </si>
  <si>
    <t>Atributo</t>
  </si>
  <si>
    <t>Comentarios</t>
  </si>
  <si>
    <t>test_single_number_factorial</t>
  </si>
  <si>
    <t>TESTCASE</t>
  </si>
  <si>
    <t>TEAM9</t>
  </si>
  <si>
    <t>NOT STARTED</t>
  </si>
  <si>
    <t>Verificar que al activar rstn en bajo, el reloj se reinicia.</t>
  </si>
  <si>
    <t>Reset asincrono</t>
  </si>
  <si>
    <t>Todos los contadores vuelven a cero.</t>
  </si>
  <si>
    <t>test_multiple_number_factorial</t>
  </si>
  <si>
    <t>Confirmar que el conteo de detiene</t>
  </si>
  <si>
    <t>Paro de reloj</t>
  </si>
  <si>
    <t>Todos los valores de hex permanecen constantes.</t>
  </si>
  <si>
    <t>test_start_toggles_while_factorial_busy</t>
  </si>
  <si>
    <t>Conteo en Unidades de Segundo</t>
  </si>
  <si>
    <t>CHECK</t>
  </si>
  <si>
    <t>accumulator_assigned_to_one_when_start_triggers</t>
  </si>
  <si>
    <t>busy_asserted_while_done_not_set</t>
  </si>
  <si>
    <t>counter_decrementing_one_while_busy</t>
  </si>
  <si>
    <t>mul_output_equal_to_counter_mul_by_accum</t>
  </si>
  <si>
    <t>IN PROGRESS</t>
  </si>
  <si>
    <t>COVERGROUP</t>
  </si>
  <si>
    <t>COMPLETED</t>
  </si>
  <si>
    <t>PASSING</t>
  </si>
  <si>
    <t>FAILING</t>
  </si>
  <si>
    <t>BLOCKED</t>
  </si>
  <si>
    <t>Responsable</t>
  </si>
  <si>
    <t>Jose Antonio Garcia</t>
  </si>
  <si>
    <t>Alonso Emmanuel Lopez</t>
  </si>
  <si>
    <t>Cesar Eduardo Inda Ceniceros</t>
  </si>
  <si>
    <t>TestCase</t>
  </si>
  <si>
    <t>Check</t>
  </si>
  <si>
    <t>Objetivo</t>
  </si>
  <si>
    <t>Luis Alberto Castañeda</t>
  </si>
  <si>
    <t>Conformar los valores de tabla II</t>
  </si>
  <si>
    <t>Verificar que los datos de la tabla II. Los cuales son la señal interna y la salida de 7 segmentos.</t>
  </si>
  <si>
    <t>Los valores de La señal se deben mostrar en orden a las salidas de en el test de verificación.</t>
  </si>
  <si>
    <t>Verificar que hex0 se incremente cada 2 ciclos de clk_out cuando start_stop = 1.</t>
  </si>
  <si>
    <t>hex0 cuente de 0 a 9 en binario codificado a 7 segmentos.</t>
  </si>
  <si>
    <t>Verificar que hex3 incremente cada vez que hex2 pasa de 9 a 0</t>
  </si>
  <si>
    <t>hex3 cuente de 0 a 6.</t>
  </si>
  <si>
    <t>Desbordamiento de sec_units a Incremento de sec_tens</t>
  </si>
  <si>
    <t>Asegurar que sec_tens se incremente cuando sec_units pasa de 9 a 0.</t>
  </si>
  <si>
    <t>hex1 se incremente de 0 a 5 cada 10 ciclos de hex0.</t>
  </si>
  <si>
    <t>SEÑALES A VERIFICAR POR EQUIPO 9</t>
  </si>
  <si>
    <t>Valores Equipo 9</t>
  </si>
  <si>
    <t>Valor de Señal interna</t>
  </si>
  <si>
    <t>Salida D7S</t>
  </si>
  <si>
    <t>Valor Hex</t>
  </si>
  <si>
    <t>Valores Equipo 13</t>
  </si>
  <si>
    <t>0100100</t>
  </si>
  <si>
    <t>0110000</t>
  </si>
  <si>
    <t>0011001</t>
  </si>
  <si>
    <t>0010010</t>
  </si>
  <si>
    <t>0000010</t>
  </si>
  <si>
    <t>1111000</t>
  </si>
  <si>
    <t>0000000</t>
  </si>
  <si>
    <t>0011000</t>
  </si>
  <si>
    <t xml:space="preserve"> Desbordamiento de min_units e Incremento de min_tens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</si>
</sst>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charset val="1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8CBAD"/>
        <b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rgb="FFD9D9D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/>
    <xf numFmtId="0" fontId="1" fillId="0" borderId="0"/>
  </cellStyleXfs>
  <cellXfs count="41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6" borderId="0" xfId="0" applyFont="1" applyFill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left" wrapText="1"/>
    </xf>
    <xf numFmtId="0" fontId="5" fillId="9" borderId="7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5" borderId="1" xfId="1" applyBorder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3" fillId="11" borderId="4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wrapText="1"/>
    </xf>
    <xf numFmtId="0" fontId="1" fillId="8" borderId="0" xfId="2" applyFill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0" xfId="2"/>
    <xf numFmtId="0" fontId="10" fillId="0" borderId="1" xfId="2" applyFont="1" applyBorder="1" applyAlignment="1">
      <alignment horizontal="center" vertical="center"/>
    </xf>
    <xf numFmtId="0" fontId="1" fillId="11" borderId="0" xfId="2" applyFill="1"/>
    <xf numFmtId="0" fontId="11" fillId="13" borderId="1" xfId="2" applyFont="1" applyFill="1" applyBorder="1" applyAlignment="1">
      <alignment horizontal="center" vertical="center"/>
    </xf>
    <xf numFmtId="49" fontId="11" fillId="13" borderId="1" xfId="2" applyNumberFormat="1" applyFont="1" applyFill="1" applyBorder="1" applyAlignment="1">
      <alignment horizontal="center" vertical="center"/>
    </xf>
    <xf numFmtId="0" fontId="11" fillId="8" borderId="1" xfId="2" applyFont="1" applyFill="1" applyBorder="1" applyAlignment="1">
      <alignment horizontal="center" vertical="center"/>
    </xf>
    <xf numFmtId="49" fontId="1" fillId="0" borderId="0" xfId="2" applyNumberFormat="1"/>
    <xf numFmtId="0" fontId="9" fillId="12" borderId="1" xfId="2" applyFont="1" applyFill="1" applyBorder="1" applyAlignment="1">
      <alignment horizontal="center" vertical="center"/>
    </xf>
  </cellXfs>
  <cellStyles count="3">
    <cellStyle name="Bueno" xfId="1" builtinId="26"/>
    <cellStyle name="Normal" xfId="0" builtinId="0"/>
    <cellStyle name="Normal 2" xfId="2" xr:uid="{5D9CCFCB-3616-40ED-A80E-BAF9AF124E4F}"/>
  </cellStyles>
  <dxfs count="18"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4B183"/>
        </patternFill>
      </fill>
    </dxf>
    <dxf>
      <font>
        <b/>
        <i val="0"/>
        <color rgb="FFBF9000"/>
      </font>
      <fill>
        <patternFill>
          <bgColor rgb="FFFFF2CC"/>
        </patternFill>
      </fill>
    </dxf>
    <dxf>
      <font>
        <color rgb="FFC55A11"/>
      </font>
      <fill>
        <patternFill>
          <bgColor rgb="FFFFC000"/>
        </patternFill>
      </fill>
    </dxf>
    <dxf>
      <fill>
        <patternFill>
          <bgColor rgb="FF535353"/>
        </patternFill>
      </fill>
    </dxf>
    <dxf>
      <font>
        <b/>
        <i val="0"/>
        <color rgb="FFFFFFFF"/>
      </font>
      <fill>
        <patternFill>
          <bgColor rgb="FF404040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DEEBF7"/>
        </patternFill>
      </fill>
    </dxf>
    <dxf>
      <fill>
        <patternFill>
          <bgColor rgb="FFE2F0D9"/>
        </patternFill>
      </fill>
    </dxf>
    <dxf>
      <font>
        <b/>
        <i val="0"/>
        <color rgb="FFFFC000"/>
      </font>
      <fill>
        <patternFill>
          <bgColor rgb="FFFFFFFF"/>
        </patternFill>
      </fill>
    </dxf>
    <dxf>
      <font>
        <b/>
        <i val="0"/>
        <color rgb="FF70AD47"/>
      </font>
    </dxf>
    <dxf>
      <font>
        <b/>
        <i val="0"/>
        <color rgb="FF4472C4"/>
      </font>
    </dxf>
    <dxf>
      <font>
        <b/>
        <i val="0"/>
        <color rgb="FF70AD47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C7CE"/>
      <rgbColor rgb="FFCC99FF"/>
      <rgbColor rgb="FFF8CBAD"/>
      <rgbColor rgb="FF4472C4"/>
      <rgbColor rgb="FF33CCCC"/>
      <rgbColor rgb="FF92D050"/>
      <rgbColor rgb="FFFFC000"/>
      <rgbColor rgb="FFFF9900"/>
      <rgbColor rgb="FFFF6600"/>
      <rgbColor rgb="FF595959"/>
      <rgbColor rgb="FF70AD47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2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400" b="1" strike="noStrike" spc="-1">
                <a:solidFill>
                  <a:srgbClr val="000000"/>
                </a:solidFill>
                <a:latin typeface="Calibri"/>
              </a:rPr>
              <a:t>Coverage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7086217492014397E-2"/>
          <c:y val="0.12371401354239077"/>
          <c:w val="0.95004310762048183"/>
          <c:h val="0.75053598002111166"/>
        </c:manualLayout>
      </c:layout>
      <c:lineChart>
        <c:grouping val="standard"/>
        <c:varyColors val="0"/>
        <c:ser>
          <c:idx val="0"/>
          <c:order val="0"/>
          <c:tx>
            <c:strRef>
              <c:f>CoverGroups!$B$1</c:f>
              <c:strCache>
                <c:ptCount val="1"/>
                <c:pt idx="0">
                  <c:v>Functional coverage (%)</c:v>
                </c:pt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CoverGroups!$A$2:$A$9</c:f>
              <c:numCache>
                <c:formatCode>m/d/yyyy</c:formatCode>
                <c:ptCount val="8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</c:numCache>
            </c:numRef>
          </c:cat>
          <c:val>
            <c:numRef>
              <c:f>CoverGroups!$B$2:$B$9</c:f>
              <c:numCache>
                <c:formatCode>General</c:formatCode>
                <c:ptCount val="8"/>
                <c:pt idx="0">
                  <c:v>35</c:v>
                </c:pt>
                <c:pt idx="1">
                  <c:v>37</c:v>
                </c:pt>
                <c:pt idx="2">
                  <c:v>39</c:v>
                </c:pt>
                <c:pt idx="3">
                  <c:v>40</c:v>
                </c:pt>
                <c:pt idx="4">
                  <c:v>40</c:v>
                </c:pt>
                <c:pt idx="5">
                  <c:v>42</c:v>
                </c:pt>
                <c:pt idx="6">
                  <c:v>45</c:v>
                </c:pt>
                <c:pt idx="7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1C-4C94-BF0C-84D7E108C5E0}"/>
            </c:ext>
          </c:extLst>
        </c:ser>
        <c:ser>
          <c:idx val="1"/>
          <c:order val="1"/>
          <c:tx>
            <c:strRef>
              <c:f>CoverGroups!$C$1</c:f>
              <c:strCache>
                <c:ptCount val="1"/>
                <c:pt idx="0">
                  <c:v>Code coverage (%)</c:v>
                </c:pt>
              </c:strCache>
            </c:strRef>
          </c:tx>
          <c:spPr>
            <a:ln w="2844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CoverGroups!$A$2:$A$9</c:f>
              <c:numCache>
                <c:formatCode>m/d/yyyy</c:formatCode>
                <c:ptCount val="8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</c:numCache>
            </c:numRef>
          </c:cat>
          <c:val>
            <c:numRef>
              <c:f>CoverGroups!$C$2:$C$9</c:f>
              <c:numCache>
                <c:formatCode>General</c:formatCode>
                <c:ptCount val="8"/>
                <c:pt idx="0">
                  <c:v>49</c:v>
                </c:pt>
                <c:pt idx="1">
                  <c:v>53</c:v>
                </c:pt>
                <c:pt idx="2">
                  <c:v>55</c:v>
                </c:pt>
                <c:pt idx="3">
                  <c:v>57</c:v>
                </c:pt>
                <c:pt idx="4">
                  <c:v>60</c:v>
                </c:pt>
                <c:pt idx="5">
                  <c:v>62</c:v>
                </c:pt>
                <c:pt idx="6">
                  <c:v>65</c:v>
                </c:pt>
                <c:pt idx="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C-4C94-BF0C-84D7E108C5E0}"/>
            </c:ext>
          </c:extLst>
        </c:ser>
        <c:ser>
          <c:idx val="2"/>
          <c:order val="2"/>
          <c:tx>
            <c:strRef>
              <c:f>CoverGroups!$D$1</c:f>
              <c:strCache>
                <c:ptCount val="1"/>
                <c:pt idx="0">
                  <c:v>Overall coverage (%)</c:v>
                </c:pt>
              </c:strCache>
            </c:strRef>
          </c:tx>
          <c:spPr>
            <a:ln w="28440" cap="rnd">
              <a:solidFill>
                <a:srgbClr val="0D0D0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CoverGroups!$A$2:$A$9</c:f>
              <c:numCache>
                <c:formatCode>m/d/yyyy</c:formatCode>
                <c:ptCount val="8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</c:numCache>
            </c:numRef>
          </c:cat>
          <c:val>
            <c:numRef>
              <c:f>CoverGroups!$D$2:$D$9</c:f>
              <c:numCache>
                <c:formatCode>General</c:formatCode>
                <c:ptCount val="8"/>
                <c:pt idx="0">
                  <c:v>42</c:v>
                </c:pt>
                <c:pt idx="1">
                  <c:v>45</c:v>
                </c:pt>
                <c:pt idx="2">
                  <c:v>47</c:v>
                </c:pt>
                <c:pt idx="3">
                  <c:v>48.5</c:v>
                </c:pt>
                <c:pt idx="4">
                  <c:v>50</c:v>
                </c:pt>
                <c:pt idx="5">
                  <c:v>52</c:v>
                </c:pt>
                <c:pt idx="6">
                  <c:v>55</c:v>
                </c:pt>
                <c:pt idx="7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1C-4C94-BF0C-84D7E108C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30723"/>
        <c:axId val="31118917"/>
      </c:lineChart>
      <c:dateAx>
        <c:axId val="6430723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1118917"/>
        <c:crosses val="autoZero"/>
        <c:auto val="1"/>
        <c:lblOffset val="100"/>
        <c:baseTimeUnit val="days"/>
      </c:dateAx>
      <c:valAx>
        <c:axId val="311189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4307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502920</xdr:colOff>
      <xdr:row>4</xdr:row>
      <xdr:rowOff>60960</xdr:rowOff>
    </xdr:from>
    <xdr:to>
      <xdr:col>16</xdr:col>
      <xdr:colOff>563880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tabSelected="1" topLeftCell="D1" zoomScale="115" zoomScaleNormal="115" workbookViewId="0">
      <selection activeCell="G11" sqref="G11"/>
    </sheetView>
  </sheetViews>
  <sheetFormatPr baseColWidth="10" defaultColWidth="8.6640625" defaultRowHeight="14.4" x14ac:dyDescent="0.3"/>
  <cols>
    <col min="1" max="1" width="45.33203125" style="5" customWidth="1"/>
    <col min="2" max="2" width="19.5546875" style="5" customWidth="1"/>
    <col min="3" max="3" width="29" style="5" customWidth="1"/>
    <col min="4" max="4" width="21.5546875" style="5" customWidth="1"/>
    <col min="5" max="5" width="26.109375" style="6" bestFit="1" customWidth="1"/>
    <col min="6" max="6" width="29" style="6" customWidth="1"/>
    <col min="7" max="7" width="26.88671875" style="6" customWidth="1"/>
    <col min="8" max="8" width="27.88671875" customWidth="1"/>
    <col min="9" max="9" width="23.109375" customWidth="1"/>
  </cols>
  <sheetData>
    <row r="1" spans="1:13" s="7" customFormat="1" ht="14.25" customHeight="1" thickBot="1" x14ac:dyDescent="0.35">
      <c r="A1" s="4" t="s">
        <v>4</v>
      </c>
      <c r="B1" s="4" t="s">
        <v>5</v>
      </c>
      <c r="C1" s="4" t="s">
        <v>6</v>
      </c>
      <c r="D1" s="4" t="s">
        <v>7</v>
      </c>
      <c r="E1" s="11" t="s">
        <v>35</v>
      </c>
      <c r="F1" s="22" t="s">
        <v>9</v>
      </c>
      <c r="G1" s="22" t="s">
        <v>41</v>
      </c>
      <c r="H1" s="22" t="s">
        <v>8</v>
      </c>
      <c r="I1" s="22" t="s">
        <v>10</v>
      </c>
    </row>
    <row r="2" spans="1:13" ht="26.4" x14ac:dyDescent="0.3">
      <c r="A2" s="8" t="s">
        <v>11</v>
      </c>
      <c r="B2" s="8" t="s">
        <v>12</v>
      </c>
      <c r="C2" s="5" t="s">
        <v>13</v>
      </c>
      <c r="D2" s="19" t="s">
        <v>31</v>
      </c>
      <c r="E2" s="13" t="s">
        <v>37</v>
      </c>
      <c r="F2" s="23" t="s">
        <v>39</v>
      </c>
      <c r="G2" s="27" t="s">
        <v>16</v>
      </c>
      <c r="H2" s="28" t="s">
        <v>15</v>
      </c>
      <c r="I2" s="28" t="s">
        <v>17</v>
      </c>
    </row>
    <row r="3" spans="1:13" ht="39.6" x14ac:dyDescent="0.3">
      <c r="A3" s="8" t="s">
        <v>18</v>
      </c>
      <c r="B3" s="8" t="s">
        <v>12</v>
      </c>
      <c r="C3" s="5" t="s">
        <v>13</v>
      </c>
      <c r="D3" s="19" t="s">
        <v>31</v>
      </c>
      <c r="E3" s="14" t="s">
        <v>37</v>
      </c>
      <c r="F3" s="24" t="s">
        <v>40</v>
      </c>
      <c r="G3" s="28" t="s">
        <v>67</v>
      </c>
      <c r="H3" s="28" t="s">
        <v>48</v>
      </c>
      <c r="I3" s="29" t="s">
        <v>49</v>
      </c>
    </row>
    <row r="4" spans="1:13" ht="41.4" x14ac:dyDescent="0.3">
      <c r="A4" s="8" t="s">
        <v>22</v>
      </c>
      <c r="B4" s="8" t="s">
        <v>12</v>
      </c>
      <c r="C4" s="5" t="s">
        <v>13</v>
      </c>
      <c r="D4" s="19" t="s">
        <v>31</v>
      </c>
      <c r="E4" s="15" t="s">
        <v>36</v>
      </c>
      <c r="F4" s="24" t="s">
        <v>39</v>
      </c>
      <c r="G4" s="28" t="s">
        <v>50</v>
      </c>
      <c r="H4" s="30" t="s">
        <v>51</v>
      </c>
      <c r="I4" s="28" t="s">
        <v>52</v>
      </c>
    </row>
    <row r="5" spans="1:13" ht="38.4" customHeight="1" x14ac:dyDescent="0.3">
      <c r="A5" s="5" t="s">
        <v>25</v>
      </c>
      <c r="B5" s="5" t="s">
        <v>24</v>
      </c>
      <c r="C5" s="5" t="s">
        <v>13</v>
      </c>
      <c r="D5" s="20" t="s">
        <v>31</v>
      </c>
      <c r="E5" s="16" t="s">
        <v>42</v>
      </c>
      <c r="F5" s="24" t="s">
        <v>39</v>
      </c>
      <c r="G5" s="27" t="s">
        <v>20</v>
      </c>
      <c r="H5" s="28" t="s">
        <v>19</v>
      </c>
      <c r="I5" s="28" t="s">
        <v>21</v>
      </c>
    </row>
    <row r="6" spans="1:13" ht="52.8" x14ac:dyDescent="0.3">
      <c r="A6" s="5" t="s">
        <v>26</v>
      </c>
      <c r="B6" s="5" t="s">
        <v>24</v>
      </c>
      <c r="C6" s="5" t="s">
        <v>13</v>
      </c>
      <c r="D6" s="21" t="s">
        <v>31</v>
      </c>
      <c r="E6" s="17" t="s">
        <v>38</v>
      </c>
      <c r="F6" s="25" t="s">
        <v>39</v>
      </c>
      <c r="G6" s="27" t="s">
        <v>43</v>
      </c>
      <c r="H6" s="28" t="s">
        <v>44</v>
      </c>
      <c r="I6" s="28" t="s">
        <v>45</v>
      </c>
      <c r="J6" s="12"/>
      <c r="K6" s="12"/>
      <c r="L6" s="12"/>
      <c r="M6" s="12"/>
    </row>
    <row r="7" spans="1:13" ht="40.200000000000003" thickBot="1" x14ac:dyDescent="0.35">
      <c r="A7" s="5" t="s">
        <v>27</v>
      </c>
      <c r="B7" s="5" t="s">
        <v>24</v>
      </c>
      <c r="C7" s="5" t="s">
        <v>13</v>
      </c>
      <c r="D7" s="21" t="s">
        <v>31</v>
      </c>
      <c r="E7" s="18" t="s">
        <v>38</v>
      </c>
      <c r="F7" s="26" t="s">
        <v>40</v>
      </c>
      <c r="G7" s="28" t="s">
        <v>23</v>
      </c>
      <c r="H7" s="28" t="s">
        <v>46</v>
      </c>
      <c r="I7" s="28" t="s">
        <v>47</v>
      </c>
    </row>
    <row r="8" spans="1:13" x14ac:dyDescent="0.3">
      <c r="A8" s="5" t="s">
        <v>28</v>
      </c>
      <c r="B8" s="5" t="s">
        <v>24</v>
      </c>
      <c r="C8" s="5" t="s">
        <v>13</v>
      </c>
      <c r="E8" s="9"/>
    </row>
    <row r="11" spans="1:13" x14ac:dyDescent="0.3">
      <c r="E11" s="10"/>
    </row>
    <row r="13" spans="1:13" x14ac:dyDescent="0.3">
      <c r="E13" s="10"/>
    </row>
  </sheetData>
  <autoFilter ref="B1:D1" xr:uid="{00000000-0009-0000-0000-000002000000}"/>
  <conditionalFormatting sqref="B1:D1048576">
    <cfRule type="cellIs" dxfId="17" priority="2" operator="equal">
      <formula>"CHECK"</formula>
    </cfRule>
    <cfRule type="cellIs" dxfId="16" priority="3" operator="equal">
      <formula>"COVERGROUP"</formula>
    </cfRule>
    <cfRule type="cellIs" dxfId="15" priority="4" operator="equal">
      <formula>"CHECKER"</formula>
    </cfRule>
    <cfRule type="cellIs" dxfId="14" priority="5" operator="equal">
      <formula>"TESTCASE"</formula>
    </cfRule>
  </conditionalFormatting>
  <conditionalFormatting sqref="D1:D1048576">
    <cfRule type="cellIs" dxfId="13" priority="6" operator="equal">
      <formula>"PASSING"</formula>
    </cfRule>
    <cfRule type="cellIs" dxfId="12" priority="7" operator="equal">
      <formula>"COMPLETED"</formula>
    </cfRule>
    <cfRule type="cellIs" dxfId="11" priority="8" operator="equal">
      <formula>"NOT STARTED"</formula>
    </cfRule>
    <cfRule type="cellIs" dxfId="10" priority="9" operator="equal">
      <formula>"IN_PROGRESS"</formula>
    </cfRule>
    <cfRule type="cellIs" dxfId="9" priority="10" operator="equal">
      <formula>"NOT_STARTED"</formula>
    </cfRule>
  </conditionalFormatting>
  <conditionalFormatting sqref="D2:D1048576">
    <cfRule type="cellIs" dxfId="1" priority="18" operator="equal">
      <formula>"FAILING"</formula>
    </cfRule>
  </conditionalFormatting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" operator="equal" id="{7B1042DF-8E18-426C-BCF8-D3D3C050E85A}">
            <xm:f>DONOTCHANGE!$B$6</xm:f>
            <x14:dxf>
              <font>
                <b/>
                <i val="0"/>
                <color rgb="FFFFFFFF"/>
              </font>
              <fill>
                <patternFill>
                  <bgColor rgb="FF404040"/>
                </patternFill>
              </fill>
            </x14:dxf>
          </x14:cfRule>
          <x14:cfRule type="cellIs" priority="12" operator="equal" id="{8BAC21C7-C4C2-4C91-B3ED-4094CFBE9FF5}">
            <xm:f>DONOTCHANGE!$B$6</xm:f>
            <x14:dxf>
              <fill>
                <patternFill>
                  <bgColor rgb="FF535353"/>
                </patternFill>
              </fill>
            </x14:dxf>
          </x14:cfRule>
          <x14:cfRule type="cellIs" priority="13" operator="equal" id="{87BA4DB0-3689-4AE8-A3EB-CB1FC7C0B5F7}">
            <xm:f>DONOTCHANGE!$B$1</xm:f>
            <x14:dxf>
              <font>
                <color rgb="FFC55A11"/>
              </font>
              <fill>
                <patternFill>
                  <bgColor rgb="FFFFC000"/>
                </patternFill>
              </fill>
            </x14:dxf>
          </x14:cfRule>
          <x14:cfRule type="cellIs" priority="14" operator="equal" id="{B3F2A02E-E921-4D8C-9CFF-CC47CEB5912C}">
            <xm:f>DONOTCHANGE!$B$2</xm:f>
            <x14:dxf>
              <font>
                <b/>
                <i val="0"/>
                <color rgb="FFBF9000"/>
              </font>
              <fill>
                <patternFill>
                  <bgColor rgb="FFFFF2CC"/>
                </patternFill>
              </fill>
            </x14:dxf>
          </x14:cfRule>
          <x14:cfRule type="cellIs" priority="15" operator="equal" id="{E78D10F0-FC81-403A-B4D0-736B6FD15257}">
            <xm:f>DONOTCHANGE!$B$2</xm:f>
            <x14:dxf>
              <fill>
                <patternFill>
                  <bgColor rgb="FFF4B183"/>
                </patternFill>
              </fill>
            </x14:dxf>
          </x14:cfRule>
          <x14:cfRule type="cellIs" priority="16" operator="equal" id="{716D3B31-4AAA-401A-B932-A78CCDD420B3}">
            <xm:f>DONOTCHANGE!$B$1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7" operator="equal" id="{D23339E7-2C5D-4DAF-8F58-49EBFE266058}">
            <xm:f>DONOTCHANGE!$B$1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9" operator="equal" id="{F842997B-E93F-489F-98CC-FB55A9ED008A}">
            <xm:f>DONOTCHANGE!$B$5</xm:f>
            <x14:dxf>
              <fill>
                <patternFill>
                  <bgColor rgb="FFFFFFFF"/>
                </patternFill>
              </fill>
            </x14:dxf>
          </x14:cfRule>
          <xm:sqref>D2:D1048576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DONOTCHANGE!$A$1:$A$3</xm:f>
          </x14:formula1>
          <x14:formula2>
            <xm:f>0</xm:f>
          </x14:formula2>
          <xm:sqref>B2:B1008</xm:sqref>
        </x14:dataValidation>
        <x14:dataValidation type="list" allowBlank="1" showInputMessage="1" showErrorMessage="1" xr:uid="{00000000-0002-0000-0200-000001000000}">
          <x14:formula1>
            <xm:f>DONOTCHANGE!$B$1:$B$6</xm:f>
          </x14:formula1>
          <x14:formula2>
            <xm:f>0</xm:f>
          </x14:formula2>
          <xm:sqref>D2:D1008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15E9-EA35-4C93-BBAF-87CBAC3E41FC}">
  <dimension ref="B1:F13"/>
  <sheetViews>
    <sheetView workbookViewId="0">
      <selection activeCell="F9" sqref="F9"/>
    </sheetView>
  </sheetViews>
  <sheetFormatPr baseColWidth="10" defaultRowHeight="14.4" x14ac:dyDescent="0.3"/>
  <cols>
    <col min="1" max="1" width="11.5546875" style="33"/>
    <col min="2" max="2" width="29.109375" style="33" customWidth="1"/>
    <col min="3" max="3" width="19.6640625" style="33" customWidth="1"/>
    <col min="4" max="4" width="15.88671875" style="33" customWidth="1"/>
    <col min="5" max="5" width="11.5546875" style="33"/>
    <col min="6" max="6" width="19.6640625" style="33" customWidth="1"/>
    <col min="7" max="7" width="20.77734375" style="33" customWidth="1"/>
    <col min="8" max="16384" width="11.5546875" style="33"/>
  </cols>
  <sheetData>
    <row r="1" spans="2:6" x14ac:dyDescent="0.3">
      <c r="B1" s="40" t="s">
        <v>53</v>
      </c>
      <c r="C1" s="40"/>
      <c r="D1" s="40"/>
      <c r="E1" s="31"/>
      <c r="F1" s="32" t="s">
        <v>54</v>
      </c>
    </row>
    <row r="2" spans="2:6" ht="15.6" x14ac:dyDescent="0.3">
      <c r="B2" s="34" t="s">
        <v>55</v>
      </c>
      <c r="C2" s="34" t="s">
        <v>56</v>
      </c>
      <c r="D2" s="34" t="s">
        <v>57</v>
      </c>
      <c r="E2" s="35"/>
      <c r="F2" s="32" t="s">
        <v>58</v>
      </c>
    </row>
    <row r="3" spans="2:6" ht="15.6" x14ac:dyDescent="0.3">
      <c r="B3" s="36">
        <v>0</v>
      </c>
      <c r="C3" s="37">
        <v>1000000</v>
      </c>
      <c r="D3" s="38">
        <v>40</v>
      </c>
    </row>
    <row r="4" spans="2:6" ht="15.6" x14ac:dyDescent="0.3">
      <c r="B4" s="36">
        <v>1</v>
      </c>
      <c r="C4" s="37">
        <v>1111011</v>
      </c>
      <c r="D4" s="38">
        <v>79</v>
      </c>
    </row>
    <row r="5" spans="2:6" ht="15.6" x14ac:dyDescent="0.3">
      <c r="B5" s="36">
        <v>2</v>
      </c>
      <c r="C5" s="37" t="s">
        <v>59</v>
      </c>
      <c r="D5" s="38">
        <v>24</v>
      </c>
    </row>
    <row r="6" spans="2:6" ht="15.6" x14ac:dyDescent="0.3">
      <c r="B6" s="36">
        <v>3</v>
      </c>
      <c r="C6" s="37" t="s">
        <v>60</v>
      </c>
      <c r="D6" s="38">
        <v>30</v>
      </c>
    </row>
    <row r="7" spans="2:6" ht="15.6" x14ac:dyDescent="0.3">
      <c r="B7" s="36">
        <v>4</v>
      </c>
      <c r="C7" s="37" t="s">
        <v>61</v>
      </c>
      <c r="D7" s="38">
        <v>19</v>
      </c>
    </row>
    <row r="8" spans="2:6" ht="15.6" x14ac:dyDescent="0.3">
      <c r="B8" s="36">
        <v>5</v>
      </c>
      <c r="C8" s="37" t="s">
        <v>62</v>
      </c>
      <c r="D8" s="38">
        <v>12</v>
      </c>
    </row>
    <row r="9" spans="2:6" ht="15.6" x14ac:dyDescent="0.3">
      <c r="B9" s="36">
        <v>6</v>
      </c>
      <c r="C9" s="37" t="s">
        <v>63</v>
      </c>
      <c r="D9" s="38">
        <v>2</v>
      </c>
    </row>
    <row r="10" spans="2:6" ht="15.6" x14ac:dyDescent="0.3">
      <c r="B10" s="36">
        <v>7</v>
      </c>
      <c r="C10" s="37" t="s">
        <v>64</v>
      </c>
      <c r="D10" s="38">
        <v>78</v>
      </c>
    </row>
    <row r="11" spans="2:6" ht="15.6" x14ac:dyDescent="0.3">
      <c r="B11" s="36">
        <v>8</v>
      </c>
      <c r="C11" s="37" t="s">
        <v>65</v>
      </c>
      <c r="D11" s="38">
        <v>0</v>
      </c>
    </row>
    <row r="12" spans="2:6" ht="15.6" x14ac:dyDescent="0.3">
      <c r="B12" s="36">
        <v>9</v>
      </c>
      <c r="C12" s="37" t="s">
        <v>66</v>
      </c>
      <c r="D12" s="38">
        <v>18</v>
      </c>
    </row>
    <row r="13" spans="2:6" x14ac:dyDescent="0.3">
      <c r="C13" s="39"/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selection activeCell="D15" sqref="D15"/>
    </sheetView>
  </sheetViews>
  <sheetFormatPr baseColWidth="10" defaultColWidth="8.6640625" defaultRowHeight="14.4" x14ac:dyDescent="0.3"/>
  <cols>
    <col min="1" max="1" width="22.77734375" style="1" customWidth="1"/>
    <col min="2" max="2" width="16.21875" style="2" customWidth="1"/>
    <col min="3" max="3" width="17.33203125" style="2" customWidth="1"/>
    <col min="4" max="4" width="19.109375" style="2" customWidth="1"/>
  </cols>
  <sheetData>
    <row r="1" spans="1:4" ht="28.8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>
        <v>45597</v>
      </c>
      <c r="B2" s="2">
        <v>35</v>
      </c>
      <c r="C2" s="2">
        <v>49</v>
      </c>
      <c r="D2" s="2">
        <f t="shared" ref="D2:D9" si="0">(B2+C2)/2</f>
        <v>42</v>
      </c>
    </row>
    <row r="3" spans="1:4" x14ac:dyDescent="0.3">
      <c r="A3" s="1">
        <v>45598</v>
      </c>
      <c r="B3" s="2">
        <v>37</v>
      </c>
      <c r="C3" s="2">
        <v>53</v>
      </c>
      <c r="D3" s="2">
        <f t="shared" si="0"/>
        <v>45</v>
      </c>
    </row>
    <row r="4" spans="1:4" x14ac:dyDescent="0.3">
      <c r="A4" s="1">
        <v>45599</v>
      </c>
      <c r="B4" s="2">
        <v>39</v>
      </c>
      <c r="C4" s="2">
        <v>55</v>
      </c>
      <c r="D4" s="2">
        <f t="shared" si="0"/>
        <v>47</v>
      </c>
    </row>
    <row r="5" spans="1:4" x14ac:dyDescent="0.3">
      <c r="A5" s="1">
        <v>45600</v>
      </c>
      <c r="B5" s="2">
        <v>40</v>
      </c>
      <c r="C5" s="2">
        <v>57</v>
      </c>
      <c r="D5" s="2">
        <f t="shared" si="0"/>
        <v>48.5</v>
      </c>
    </row>
    <row r="6" spans="1:4" x14ac:dyDescent="0.3">
      <c r="A6" s="1">
        <v>45601</v>
      </c>
      <c r="B6" s="2">
        <v>40</v>
      </c>
      <c r="C6" s="2">
        <v>60</v>
      </c>
      <c r="D6" s="2">
        <f t="shared" si="0"/>
        <v>50</v>
      </c>
    </row>
    <row r="7" spans="1:4" x14ac:dyDescent="0.3">
      <c r="A7" s="1">
        <v>45602</v>
      </c>
      <c r="B7" s="2">
        <v>42</v>
      </c>
      <c r="C7" s="2">
        <v>62</v>
      </c>
      <c r="D7" s="2">
        <f t="shared" si="0"/>
        <v>52</v>
      </c>
    </row>
    <row r="8" spans="1:4" x14ac:dyDescent="0.3">
      <c r="A8" s="1">
        <v>45603</v>
      </c>
      <c r="B8" s="2">
        <v>45</v>
      </c>
      <c r="C8" s="2">
        <v>65</v>
      </c>
      <c r="D8" s="2">
        <f t="shared" si="0"/>
        <v>55</v>
      </c>
    </row>
    <row r="9" spans="1:4" x14ac:dyDescent="0.3">
      <c r="A9" s="1">
        <v>45604</v>
      </c>
      <c r="B9" s="2">
        <v>46</v>
      </c>
      <c r="C9" s="2">
        <v>70</v>
      </c>
      <c r="D9" s="2">
        <f t="shared" si="0"/>
        <v>58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Normal="100" workbookViewId="0">
      <selection activeCell="B6" sqref="B6"/>
    </sheetView>
  </sheetViews>
  <sheetFormatPr baseColWidth="10" defaultColWidth="11.44140625" defaultRowHeight="14.4" x14ac:dyDescent="0.3"/>
  <cols>
    <col min="1" max="1" width="14" customWidth="1"/>
    <col min="2" max="2" width="12.5546875" customWidth="1"/>
  </cols>
  <sheetData>
    <row r="1" spans="1:2" x14ac:dyDescent="0.3">
      <c r="A1" t="s">
        <v>12</v>
      </c>
      <c r="B1" t="s">
        <v>14</v>
      </c>
    </row>
    <row r="2" spans="1:2" x14ac:dyDescent="0.3">
      <c r="A2" t="s">
        <v>24</v>
      </c>
      <c r="B2" t="s">
        <v>29</v>
      </c>
    </row>
    <row r="3" spans="1:2" x14ac:dyDescent="0.3">
      <c r="A3" t="s">
        <v>30</v>
      </c>
      <c r="B3" t="s">
        <v>31</v>
      </c>
    </row>
    <row r="4" spans="1:2" x14ac:dyDescent="0.3">
      <c r="B4" t="s">
        <v>32</v>
      </c>
    </row>
    <row r="5" spans="1:2" x14ac:dyDescent="0.3">
      <c r="B5" t="s">
        <v>33</v>
      </c>
    </row>
    <row r="6" spans="1:2" x14ac:dyDescent="0.3">
      <c r="B6" t="s">
        <v>34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E028BA32A04546B82B0EECDBEA9BAD" ma:contentTypeVersion="12" ma:contentTypeDescription="Crear nuevo documento." ma:contentTypeScope="" ma:versionID="7c15f775a92c32cd8b48a48af3a14593">
  <xsd:schema xmlns:xsd="http://www.w3.org/2001/XMLSchema" xmlns:xs="http://www.w3.org/2001/XMLSchema" xmlns:p="http://schemas.microsoft.com/office/2006/metadata/properties" xmlns:ns2="7573ad77-4f67-4c5a-b216-eca64b62a256" xmlns:ns3="c8f38ea3-53ef-4274-bdc9-48729cb00c23" targetNamespace="http://schemas.microsoft.com/office/2006/metadata/properties" ma:root="true" ma:fieldsID="50ac1af4cd03ac7c6e9305773e4fe22a" ns2:_="" ns3:_="">
    <xsd:import namespace="7573ad77-4f67-4c5a-b216-eca64b62a256"/>
    <xsd:import namespace="c8f38ea3-53ef-4274-bdc9-48729cb00c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3ad77-4f67-4c5a-b216-eca64b62a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e482789-4b9a-427d-ada1-1190ae191d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38ea3-53ef-4274-bdc9-48729cb00c2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21db668-6e71-4365-ad9e-6380a3e1c08a}" ma:internalName="TaxCatchAll" ma:showField="CatchAllData" ma:web="c8f38ea3-53ef-4274-bdc9-48729cb00c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73ad77-4f67-4c5a-b216-eca64b62a256">
      <Terms xmlns="http://schemas.microsoft.com/office/infopath/2007/PartnerControls"/>
    </lcf76f155ced4ddcb4097134ff3c332f>
    <TaxCatchAll xmlns="c8f38ea3-53ef-4274-bdc9-48729cb00c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29A34B-4531-49E5-84CB-76C75B199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73ad77-4f67-4c5a-b216-eca64b62a256"/>
    <ds:schemaRef ds:uri="c8f38ea3-53ef-4274-bdc9-48729cb00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24EBB7-E82E-4D2F-A9A4-AF35E0EE55B8}">
  <ds:schemaRefs>
    <ds:schemaRef ds:uri="http://schemas.microsoft.com/office/2006/metadata/properties"/>
    <ds:schemaRef ds:uri="http://schemas.microsoft.com/office/infopath/2007/PartnerControls"/>
    <ds:schemaRef ds:uri="7573ad77-4f67-4c5a-b216-eca64b62a256"/>
    <ds:schemaRef ds:uri="c8f38ea3-53ef-4274-bdc9-48729cb00c23"/>
  </ds:schemaRefs>
</ds:datastoreItem>
</file>

<file path=customXml/itemProps3.xml><?xml version="1.0" encoding="utf-8"?>
<ds:datastoreItem xmlns:ds="http://schemas.openxmlformats.org/officeDocument/2006/customXml" ds:itemID="{95BA3C57-978D-4DA6-8D08-1DF60C2853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Testcases_Checks</vt:lpstr>
      <vt:lpstr>Valores_Verificar</vt:lpstr>
      <vt:lpstr>CoverGroups</vt:lpstr>
      <vt:lpstr>DONOTCHANGE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taheij</dc:creator>
  <cp:keywords/>
  <dc:description/>
  <cp:lastModifiedBy>Cesar Eduardo Inda Ceniceros</cp:lastModifiedBy>
  <cp:revision>2</cp:revision>
  <dcterms:created xsi:type="dcterms:W3CDTF">2022-12-08T19:18:59Z</dcterms:created>
  <dcterms:modified xsi:type="dcterms:W3CDTF">2025-09-04T05:11:42Z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0x010100D4E028BA32A04546B82B0EECDBEA9BAD</vt:lpwstr>
  </property>
  <property fmtid="{D5CDD505-2E9C-101B-9397-08002B2CF9AE}" pid="3" name="MediaServiceImageTags">
    <vt:lpwstr/>
  </property>
</Properties>
</file>